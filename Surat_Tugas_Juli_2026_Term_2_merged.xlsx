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BA JKT (Taufiq)\Surat Tugas\2026\Juli 2026\"/>
    </mc:Choice>
  </mc:AlternateContent>
  <xr:revisionPtr revIDLastSave="0" documentId="13_ncr:1_{C414E1C5-1690-4E71-BD52-6B8578FA279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  <sheet name="Sheet3" sheetId="2" r:id="rId2"/>
    <sheet name="Sheet2" sheetId="3" state="hidden" r:id="rId3"/>
  </sheets>
  <definedNames>
    <definedName name="_xlnm._FilterDatabase" localSheetId="0" hidden="1">Sheet1!$A$1:$G$14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C6" i="3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2" i="1"/>
  <c r="G2" i="1"/>
</calcChain>
</file>

<file path=xl/sharedStrings.xml><?xml version="1.0" encoding="utf-8"?>
<sst xmlns="http://schemas.openxmlformats.org/spreadsheetml/2006/main" count="164" uniqueCount="53">
  <si>
    <t>No.</t>
  </si>
  <si>
    <t>Name</t>
  </si>
  <si>
    <t>Status</t>
  </si>
  <si>
    <t>Program</t>
  </si>
  <si>
    <t>Course</t>
  </si>
  <si>
    <t>Date</t>
  </si>
  <si>
    <t>Transportation</t>
  </si>
  <si>
    <t>Dr. rer. pol. Eko Agus Prasetio, S.T., MBA.</t>
  </si>
  <si>
    <t>Full Time</t>
  </si>
  <si>
    <t>BLEMBA 38</t>
  </si>
  <si>
    <t>MM5011 Management of Innovation, Technology and Entrepreneurship</t>
  </si>
  <si>
    <t>Oktofa Yudha Sudrajad, S.T., M.S.M., Ph.D.</t>
  </si>
  <si>
    <t>BLEMBA 39A</t>
  </si>
  <si>
    <t>MM5007 Financial Management and Policy</t>
  </si>
  <si>
    <t>Dr. Ir. Asep Darmansyah, M.Si.</t>
  </si>
  <si>
    <t>ENEMBA 11</t>
  </si>
  <si>
    <t>Dr. Raden Aswin Rahadi, S.T, MBA.</t>
  </si>
  <si>
    <t>SMEMBA 10</t>
  </si>
  <si>
    <t>Dr. G. N. Sandhy Widyasthana</t>
  </si>
  <si>
    <t>Part Time</t>
  </si>
  <si>
    <t>GM 21</t>
  </si>
  <si>
    <t>MM5010 Strategic Management and Agile Enterprise</t>
  </si>
  <si>
    <t>Prof. Dr. Ir. Utomo Sarjono Putro, M.Eng.</t>
  </si>
  <si>
    <t>ENTREE 29</t>
  </si>
  <si>
    <t>MM5008 Strategic Decision Making and Negotiation</t>
  </si>
  <si>
    <t>Prof. Dr. Ir. Mustika Sufiati Purwanegara, M.Sc.</t>
  </si>
  <si>
    <t>ENTREE 30</t>
  </si>
  <si>
    <t>MM5001 Marketing Management</t>
  </si>
  <si>
    <t>Melia Famiola, S.T.P., M.T, Ph.D.</t>
  </si>
  <si>
    <t>ENMARK 4</t>
  </si>
  <si>
    <t>MM6065 Social Entrepreneurial and Leadership</t>
  </si>
  <si>
    <t>Dr. Dina Dellyana, S.Farm., M.A.B.</t>
  </si>
  <si>
    <t>GM 22</t>
  </si>
  <si>
    <t>Dr. Muchamad Arif Zamani, M.Com.</t>
  </si>
  <si>
    <t>Dr. Ir. Madju Yuni Ros Bangun, M.B.A.</t>
  </si>
  <si>
    <t>MM5018 Entrepreneurial Leadership</t>
  </si>
  <si>
    <t>Dr. Valid Hasyimi, S.T., MURP.</t>
  </si>
  <si>
    <t>Dr. Leo Aldianto, M.B.A, M.SAE.</t>
  </si>
  <si>
    <t>Prof. Deddy Priatmodjo Koesrindartoto, Ph.D.</t>
  </si>
  <si>
    <t>BLEMBA 39B</t>
  </si>
  <si>
    <t>STEMBA 5</t>
  </si>
  <si>
    <t>Dr. Nita Garnida,</t>
  </si>
  <si>
    <t>Dr. Harimukti Wandebori, S.T, MBA.</t>
  </si>
  <si>
    <t>Bulan</t>
  </si>
  <si>
    <t>Akomodasi</t>
  </si>
  <si>
    <t>Transportasi</t>
  </si>
  <si>
    <t>Anggaran</t>
  </si>
  <si>
    <t>Realisasi</t>
  </si>
  <si>
    <t>Okt</t>
  </si>
  <si>
    <t>Nov</t>
  </si>
  <si>
    <t>UYHD -&gt;</t>
  </si>
  <si>
    <t>Des</t>
  </si>
  <si>
    <t>Sisa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</si>
</sst>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21]dd\ mmmm\ yyyy;@"/>
    <numFmt numFmtId="165" formatCode="d\-mmm\-yy"/>
    <numFmt numFmtId="166" formatCode="_(* #,##0.00_);_(* \(#,##0.00\);_(* \-??_);_(@_)"/>
    <numFmt numFmtId="167" formatCode="_-* #,##0_-;\-* #,##0_-;_-* \-??_-;_-@_-"/>
  </numFmts>
  <fonts count="4" x14ac:knownFonts="1">
    <font>
      <sz val="11"/>
      <color theme="1"/>
      <name val="Calibri"/>
      <family val="2"/>
      <charset val="1"/>
    </font>
    <font>
      <b/>
      <sz val="9"/>
      <color theme="1"/>
      <name val="Tahoma"/>
      <family val="2"/>
      <charset val="1"/>
    </font>
    <font>
      <sz val="9"/>
      <color theme="1"/>
      <name val="Tahoma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rgb="FFAFABAB"/>
      </patternFill>
    </fill>
    <fill>
      <patternFill patternType="solid">
        <fgColor theme="2" tint="-0.249977111117893"/>
        <bgColor rgb="FFA6A6A6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3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65" fontId="2" fillId="0" borderId="2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7" fontId="3" fillId="0" borderId="2" xfId="1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7" fontId="3" fillId="0" borderId="0" xfId="1" applyNumberFormat="1"/>
    <xf numFmtId="167" fontId="3" fillId="0" borderId="0" xfId="1" applyNumberFormat="1" applyAlignment="1">
      <alignment horizontal="center" vertical="center"/>
    </xf>
    <xf numFmtId="167" fontId="3" fillId="0" borderId="0" xfId="1" applyNumberFormat="1" applyAlignment="1">
      <alignment horizontal="right"/>
    </xf>
    <xf numFmtId="167" fontId="3" fillId="4" borderId="0" xfId="1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selection activeCell="E14" sqref="E14"/>
    </sheetView>
  </sheetViews>
  <sheetFormatPr defaultColWidth="8.6640625" defaultRowHeight="14.25" x14ac:dyDescent="0.45"/>
  <cols>
    <col min="1" max="1" width="7" style="1" customWidth="1"/>
    <col min="2" max="2" width="48.3984375" customWidth="1"/>
    <col min="3" max="3" width="14.265625" style="2" customWidth="1"/>
    <col min="4" max="4" width="11.1328125" style="1" customWidth="1"/>
    <col min="5" max="5" width="65.265625" style="2" customWidth="1"/>
    <col min="6" max="6" width="17.796875" style="1" customWidth="1"/>
    <col min="7" max="7" width="22" style="1" customWidth="1"/>
    <col min="8" max="8" width="15.265625" hidden="1" customWidth="1"/>
    <col min="9" max="9" width="14.265625" hidden="1" customWidth="1"/>
    <col min="10" max="10" width="15.265625" customWidth="1"/>
  </cols>
  <sheetData>
    <row r="1" spans="1:8" s="1" customFormat="1" ht="21" customHeight="1" x14ac:dyDescent="0.45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5</v>
      </c>
      <c r="H1" s="5" t="s">
        <v>6</v>
      </c>
    </row>
    <row r="2" spans="1:8" x14ac:dyDescent="0.45">
      <c r="A2" s="6">
        <v>1</v>
      </c>
      <c r="B2" s="7" t="s">
        <v>7</v>
      </c>
      <c r="C2" s="8" t="s">
        <v>8</v>
      </c>
      <c r="D2" s="9" t="s">
        <v>9</v>
      </c>
      <c r="E2" s="8" t="s">
        <v>10</v>
      </c>
      <c r="F2" s="10">
        <v>46221</v>
      </c>
      <c r="G2" s="6" t="str">
        <f t="shared" ref="G2:G37" si="0">TEXT(F2-1,"d")&amp;" - "&amp;TEXT(F2+1,"d")&amp;" "&amp;CHOOSE(MONTH(F2+1),"Januari","Februari","Maret","April","Mei","Juni","Juli","Agustus","September","Oktober","November","Desember")&amp;" "&amp;YEAR(F2+1)</f>
        <v>17 - 19 Juli 2026</v>
      </c>
      <c r="H2" s="11">
        <f>F2+2</f>
        <v>46223</v>
      </c>
    </row>
    <row r="3" spans="1:8" x14ac:dyDescent="0.45">
      <c r="A3" s="6">
        <v>2</v>
      </c>
      <c r="B3" s="7" t="s">
        <v>11</v>
      </c>
      <c r="C3" s="8" t="s">
        <v>8</v>
      </c>
      <c r="D3" s="9" t="s">
        <v>12</v>
      </c>
      <c r="E3" s="8" t="s">
        <v>13</v>
      </c>
      <c r="F3" s="10">
        <v>46221</v>
      </c>
      <c r="G3" s="6" t="str">
        <f t="shared" si="0"/>
        <v>17 - 19 Juli 2026</v>
      </c>
      <c r="H3" s="12"/>
    </row>
    <row r="4" spans="1:8" x14ac:dyDescent="0.45">
      <c r="A4" s="6">
        <v>3</v>
      </c>
      <c r="B4" s="13" t="s">
        <v>14</v>
      </c>
      <c r="C4" s="8" t="s">
        <v>8</v>
      </c>
      <c r="D4" s="9" t="s">
        <v>15</v>
      </c>
      <c r="E4" s="8" t="s">
        <v>13</v>
      </c>
      <c r="F4" s="10">
        <v>46221</v>
      </c>
      <c r="G4" s="6" t="str">
        <f t="shared" si="0"/>
        <v>17 - 19 Juli 2026</v>
      </c>
      <c r="H4" s="12"/>
    </row>
    <row r="5" spans="1:8" x14ac:dyDescent="0.45">
      <c r="A5" s="6">
        <v>4</v>
      </c>
      <c r="B5" s="7" t="s">
        <v>16</v>
      </c>
      <c r="C5" s="8" t="s">
        <v>8</v>
      </c>
      <c r="D5" s="9" t="s">
        <v>17</v>
      </c>
      <c r="E5" s="8" t="s">
        <v>13</v>
      </c>
      <c r="F5" s="10">
        <v>46221</v>
      </c>
      <c r="G5" s="6" t="str">
        <f t="shared" si="0"/>
        <v>17 - 19 Juli 2026</v>
      </c>
      <c r="H5" s="14"/>
    </row>
    <row r="6" spans="1:8" x14ac:dyDescent="0.45">
      <c r="A6" s="6">
        <v>5</v>
      </c>
      <c r="B6" s="7" t="s">
        <v>7</v>
      </c>
      <c r="C6" s="8" t="s">
        <v>8</v>
      </c>
      <c r="D6" s="9" t="s">
        <v>9</v>
      </c>
      <c r="E6" s="8" t="s">
        <v>10</v>
      </c>
      <c r="F6" s="10">
        <v>46222</v>
      </c>
      <c r="G6" s="6" t="str">
        <f t="shared" si="0"/>
        <v>18 - 20 Juli 2026</v>
      </c>
      <c r="H6" s="14"/>
    </row>
    <row r="7" spans="1:8" x14ac:dyDescent="0.45">
      <c r="A7" s="6">
        <v>6</v>
      </c>
      <c r="B7" s="7" t="s">
        <v>11</v>
      </c>
      <c r="C7" s="8" t="s">
        <v>8</v>
      </c>
      <c r="D7" s="9" t="s">
        <v>12</v>
      </c>
      <c r="E7" s="8" t="s">
        <v>13</v>
      </c>
      <c r="F7" s="10">
        <v>46222</v>
      </c>
      <c r="G7" s="6" t="str">
        <f t="shared" si="0"/>
        <v>18 - 20 Juli 2026</v>
      </c>
      <c r="H7" s="14"/>
    </row>
    <row r="8" spans="1:8" x14ac:dyDescent="0.45">
      <c r="A8" s="6">
        <v>7</v>
      </c>
      <c r="B8" s="13" t="s">
        <v>14</v>
      </c>
      <c r="C8" s="8" t="s">
        <v>8</v>
      </c>
      <c r="D8" s="9" t="s">
        <v>15</v>
      </c>
      <c r="E8" s="8" t="s">
        <v>13</v>
      </c>
      <c r="F8" s="10">
        <v>46222</v>
      </c>
      <c r="G8" s="6" t="str">
        <f t="shared" si="0"/>
        <v>18 - 20 Juli 2026</v>
      </c>
      <c r="H8" s="14"/>
    </row>
    <row r="9" spans="1:8" x14ac:dyDescent="0.45">
      <c r="A9" s="6">
        <v>8</v>
      </c>
      <c r="B9" s="7" t="s">
        <v>16</v>
      </c>
      <c r="C9" s="8" t="s">
        <v>8</v>
      </c>
      <c r="D9" s="9" t="s">
        <v>17</v>
      </c>
      <c r="E9" s="8" t="s">
        <v>13</v>
      </c>
      <c r="F9" s="10">
        <v>46222</v>
      </c>
      <c r="G9" s="6" t="str">
        <f t="shared" si="0"/>
        <v>18 - 20 Juli 2026</v>
      </c>
      <c r="H9" s="14"/>
    </row>
    <row r="10" spans="1:8" x14ac:dyDescent="0.45">
      <c r="A10" s="6">
        <v>9</v>
      </c>
      <c r="B10" s="13" t="s">
        <v>18</v>
      </c>
      <c r="C10" s="15" t="s">
        <v>19</v>
      </c>
      <c r="D10" s="6" t="s">
        <v>20</v>
      </c>
      <c r="E10" s="15" t="s">
        <v>21</v>
      </c>
      <c r="F10" s="10">
        <v>46223</v>
      </c>
      <c r="G10" s="6" t="str">
        <f t="shared" si="0"/>
        <v>19 - 21 Juli 2026</v>
      </c>
      <c r="H10" s="14"/>
    </row>
    <row r="11" spans="1:8" x14ac:dyDescent="0.45">
      <c r="A11" s="6">
        <v>10</v>
      </c>
      <c r="B11" s="16" t="s">
        <v>22</v>
      </c>
      <c r="C11" s="15" t="s">
        <v>8</v>
      </c>
      <c r="D11" s="6" t="s">
        <v>23</v>
      </c>
      <c r="E11" s="15" t="s">
        <v>24</v>
      </c>
      <c r="F11" s="10">
        <v>46223</v>
      </c>
      <c r="G11" s="6" t="str">
        <f t="shared" si="0"/>
        <v>19 - 21 Juli 2026</v>
      </c>
      <c r="H11" s="14"/>
    </row>
    <row r="12" spans="1:8" x14ac:dyDescent="0.45">
      <c r="A12" s="6">
        <v>11</v>
      </c>
      <c r="B12" s="7" t="s">
        <v>25</v>
      </c>
      <c r="C12" s="8" t="s">
        <v>8</v>
      </c>
      <c r="D12" s="9" t="s">
        <v>26</v>
      </c>
      <c r="E12" s="8" t="s">
        <v>27</v>
      </c>
      <c r="F12" s="10">
        <v>46223</v>
      </c>
      <c r="G12" s="6" t="str">
        <f t="shared" si="0"/>
        <v>19 - 21 Juli 2026</v>
      </c>
      <c r="H12" s="14"/>
    </row>
    <row r="13" spans="1:8" x14ac:dyDescent="0.45">
      <c r="A13" s="6">
        <v>12</v>
      </c>
      <c r="B13" s="7" t="s">
        <v>28</v>
      </c>
      <c r="C13" s="8" t="s">
        <v>8</v>
      </c>
      <c r="D13" s="9" t="s">
        <v>29</v>
      </c>
      <c r="E13" s="8" t="s">
        <v>30</v>
      </c>
      <c r="F13" s="10">
        <v>46223</v>
      </c>
      <c r="G13" s="6" t="str">
        <f t="shared" si="0"/>
        <v>19 - 21 Juli 2026</v>
      </c>
      <c r="H13" s="14"/>
    </row>
    <row r="14" spans="1:8" x14ac:dyDescent="0.45">
      <c r="A14" s="6">
        <v>13</v>
      </c>
      <c r="B14" s="16" t="s">
        <v>31</v>
      </c>
      <c r="C14" s="15" t="s">
        <v>8</v>
      </c>
      <c r="D14" s="6" t="s">
        <v>20</v>
      </c>
      <c r="E14" s="15" t="s">
        <v>10</v>
      </c>
      <c r="F14" s="10">
        <v>46224</v>
      </c>
      <c r="G14" s="6" t="str">
        <f t="shared" si="0"/>
        <v>20 - 22 Juli 2026</v>
      </c>
      <c r="H14" s="14"/>
    </row>
    <row r="15" spans="1:8" x14ac:dyDescent="0.45">
      <c r="A15" s="6">
        <v>14</v>
      </c>
      <c r="B15" s="16" t="s">
        <v>16</v>
      </c>
      <c r="C15" s="15" t="s">
        <v>8</v>
      </c>
      <c r="D15" s="6" t="s">
        <v>32</v>
      </c>
      <c r="E15" s="15" t="s">
        <v>13</v>
      </c>
      <c r="F15" s="10">
        <v>46224</v>
      </c>
      <c r="G15" s="6" t="str">
        <f t="shared" si="0"/>
        <v>20 - 22 Juli 2026</v>
      </c>
    </row>
    <row r="16" spans="1:8" x14ac:dyDescent="0.45">
      <c r="A16" s="6">
        <v>15</v>
      </c>
      <c r="B16" s="7" t="s">
        <v>33</v>
      </c>
      <c r="C16" s="8" t="s">
        <v>19</v>
      </c>
      <c r="D16" s="9" t="s">
        <v>26</v>
      </c>
      <c r="E16" s="8" t="s">
        <v>13</v>
      </c>
      <c r="F16" s="10">
        <v>46224</v>
      </c>
      <c r="G16" s="6" t="str">
        <f t="shared" si="0"/>
        <v>20 - 22 Juli 2026</v>
      </c>
    </row>
    <row r="17" spans="1:7" x14ac:dyDescent="0.45">
      <c r="A17" s="6">
        <v>16</v>
      </c>
      <c r="B17" s="16" t="s">
        <v>34</v>
      </c>
      <c r="C17" s="15" t="s">
        <v>19</v>
      </c>
      <c r="D17" s="6" t="s">
        <v>20</v>
      </c>
      <c r="E17" s="15" t="s">
        <v>35</v>
      </c>
      <c r="F17" s="10">
        <v>46225</v>
      </c>
      <c r="G17" s="6" t="str">
        <f t="shared" si="0"/>
        <v>21 - 23 Juli 2026</v>
      </c>
    </row>
    <row r="18" spans="1:7" x14ac:dyDescent="0.45">
      <c r="A18" s="6">
        <v>17</v>
      </c>
      <c r="B18" s="16" t="s">
        <v>36</v>
      </c>
      <c r="C18" s="15" t="s">
        <v>8</v>
      </c>
      <c r="D18" s="6" t="s">
        <v>32</v>
      </c>
      <c r="E18" s="15" t="s">
        <v>24</v>
      </c>
      <c r="F18" s="10">
        <v>46225</v>
      </c>
      <c r="G18" s="6" t="str">
        <f t="shared" si="0"/>
        <v>21 - 23 Juli 2026</v>
      </c>
    </row>
    <row r="19" spans="1:7" x14ac:dyDescent="0.45">
      <c r="A19" s="6">
        <v>18</v>
      </c>
      <c r="B19" s="7" t="s">
        <v>37</v>
      </c>
      <c r="C19" s="8" t="s">
        <v>8</v>
      </c>
      <c r="D19" s="9" t="s">
        <v>9</v>
      </c>
      <c r="E19" s="8" t="s">
        <v>10</v>
      </c>
      <c r="F19" s="10">
        <v>46228</v>
      </c>
      <c r="G19" s="6" t="str">
        <f t="shared" si="0"/>
        <v>24 - 26 Juli 2026</v>
      </c>
    </row>
    <row r="20" spans="1:7" x14ac:dyDescent="0.45">
      <c r="A20" s="6">
        <v>19</v>
      </c>
      <c r="B20" s="7" t="s">
        <v>38</v>
      </c>
      <c r="C20" s="8" t="s">
        <v>8</v>
      </c>
      <c r="D20" s="9" t="s">
        <v>39</v>
      </c>
      <c r="E20" s="8" t="s">
        <v>13</v>
      </c>
      <c r="F20" s="10">
        <v>46228</v>
      </c>
      <c r="G20" s="6" t="str">
        <f t="shared" si="0"/>
        <v>24 - 26 Juli 2026</v>
      </c>
    </row>
    <row r="21" spans="1:7" x14ac:dyDescent="0.45">
      <c r="A21" s="6">
        <v>20</v>
      </c>
      <c r="B21" s="7" t="s">
        <v>16</v>
      </c>
      <c r="C21" s="8" t="s">
        <v>8</v>
      </c>
      <c r="D21" s="9" t="s">
        <v>15</v>
      </c>
      <c r="E21" s="8" t="s">
        <v>13</v>
      </c>
      <c r="F21" s="10">
        <v>46228</v>
      </c>
      <c r="G21" s="6" t="str">
        <f t="shared" si="0"/>
        <v>24 - 26 Juli 2026</v>
      </c>
    </row>
    <row r="22" spans="1:7" x14ac:dyDescent="0.45">
      <c r="A22" s="6">
        <v>21</v>
      </c>
      <c r="B22" s="7" t="s">
        <v>36</v>
      </c>
      <c r="C22" s="8" t="s">
        <v>8</v>
      </c>
      <c r="D22" s="9" t="s">
        <v>40</v>
      </c>
      <c r="E22" s="8" t="s">
        <v>24</v>
      </c>
      <c r="F22" s="10">
        <v>46228</v>
      </c>
      <c r="G22" s="6" t="str">
        <f t="shared" si="0"/>
        <v>24 - 26 Juli 2026</v>
      </c>
    </row>
    <row r="23" spans="1:7" x14ac:dyDescent="0.45">
      <c r="A23" s="6">
        <v>22</v>
      </c>
      <c r="B23" s="7" t="s">
        <v>37</v>
      </c>
      <c r="C23" s="8" t="s">
        <v>8</v>
      </c>
      <c r="D23" s="9" t="s">
        <v>9</v>
      </c>
      <c r="E23" s="8" t="s">
        <v>10</v>
      </c>
      <c r="F23" s="10">
        <v>46229</v>
      </c>
      <c r="G23" s="6" t="str">
        <f t="shared" si="0"/>
        <v>25 - 27 Juli 2026</v>
      </c>
    </row>
    <row r="24" spans="1:7" x14ac:dyDescent="0.45">
      <c r="A24" s="6">
        <v>23</v>
      </c>
      <c r="B24" s="7" t="s">
        <v>38</v>
      </c>
      <c r="C24" s="8" t="s">
        <v>8</v>
      </c>
      <c r="D24" s="9" t="s">
        <v>39</v>
      </c>
      <c r="E24" s="8" t="s">
        <v>13</v>
      </c>
      <c r="F24" s="10">
        <v>46229</v>
      </c>
      <c r="G24" s="6" t="str">
        <f t="shared" si="0"/>
        <v>25 - 27 Juli 2026</v>
      </c>
    </row>
    <row r="25" spans="1:7" x14ac:dyDescent="0.45">
      <c r="A25" s="6">
        <v>24</v>
      </c>
      <c r="B25" s="7" t="s">
        <v>16</v>
      </c>
      <c r="C25" s="8" t="s">
        <v>8</v>
      </c>
      <c r="D25" s="9" t="s">
        <v>15</v>
      </c>
      <c r="E25" s="8" t="s">
        <v>13</v>
      </c>
      <c r="F25" s="10">
        <v>46229</v>
      </c>
      <c r="G25" s="6" t="str">
        <f t="shared" si="0"/>
        <v>25 - 27 Juli 2026</v>
      </c>
    </row>
    <row r="26" spans="1:7" x14ac:dyDescent="0.45">
      <c r="A26" s="6">
        <v>25</v>
      </c>
      <c r="B26" s="7" t="s">
        <v>36</v>
      </c>
      <c r="C26" s="8" t="s">
        <v>8</v>
      </c>
      <c r="D26" s="9" t="s">
        <v>40</v>
      </c>
      <c r="E26" s="8" t="s">
        <v>24</v>
      </c>
      <c r="F26" s="10">
        <v>46229</v>
      </c>
      <c r="G26" s="6" t="str">
        <f t="shared" si="0"/>
        <v>25 - 27 Juli 2026</v>
      </c>
    </row>
    <row r="27" spans="1:7" x14ac:dyDescent="0.45">
      <c r="A27" s="6">
        <v>26</v>
      </c>
      <c r="B27" s="13" t="s">
        <v>41</v>
      </c>
      <c r="C27" s="15" t="s">
        <v>19</v>
      </c>
      <c r="D27" s="6" t="s">
        <v>20</v>
      </c>
      <c r="E27" s="15" t="s">
        <v>21</v>
      </c>
      <c r="F27" s="10">
        <v>46230</v>
      </c>
      <c r="G27" s="6" t="str">
        <f t="shared" si="0"/>
        <v>26 - 28 Juli 2026</v>
      </c>
    </row>
    <row r="28" spans="1:7" x14ac:dyDescent="0.45">
      <c r="A28" s="6">
        <v>27</v>
      </c>
      <c r="B28" s="16" t="s">
        <v>22</v>
      </c>
      <c r="C28" s="15" t="s">
        <v>8</v>
      </c>
      <c r="D28" s="6" t="s">
        <v>23</v>
      </c>
      <c r="E28" s="15" t="s">
        <v>24</v>
      </c>
      <c r="F28" s="10">
        <v>46230</v>
      </c>
      <c r="G28" s="6" t="str">
        <f t="shared" si="0"/>
        <v>26 - 28 Juli 2026</v>
      </c>
    </row>
    <row r="29" spans="1:7" x14ac:dyDescent="0.45">
      <c r="A29" s="6">
        <v>28</v>
      </c>
      <c r="B29" s="7" t="s">
        <v>25</v>
      </c>
      <c r="C29" s="8" t="s">
        <v>8</v>
      </c>
      <c r="D29" s="9" t="s">
        <v>26</v>
      </c>
      <c r="E29" s="8" t="s">
        <v>27</v>
      </c>
      <c r="F29" s="10">
        <v>46230</v>
      </c>
      <c r="G29" s="6" t="str">
        <f t="shared" si="0"/>
        <v>26 - 28 Juli 2026</v>
      </c>
    </row>
    <row r="30" spans="1:7" x14ac:dyDescent="0.45">
      <c r="A30" s="6">
        <v>29</v>
      </c>
      <c r="B30" s="16" t="s">
        <v>31</v>
      </c>
      <c r="C30" s="15" t="s">
        <v>8</v>
      </c>
      <c r="D30" s="6" t="s">
        <v>20</v>
      </c>
      <c r="E30" s="15" t="s">
        <v>10</v>
      </c>
      <c r="F30" s="10">
        <v>46231</v>
      </c>
      <c r="G30" s="6" t="str">
        <f t="shared" si="0"/>
        <v>27 - 29 Juli 2026</v>
      </c>
    </row>
    <row r="31" spans="1:7" x14ac:dyDescent="0.45">
      <c r="A31" s="6">
        <v>30</v>
      </c>
      <c r="B31" s="16" t="s">
        <v>16</v>
      </c>
      <c r="C31" s="15" t="s">
        <v>8</v>
      </c>
      <c r="D31" s="6" t="s">
        <v>32</v>
      </c>
      <c r="E31" s="15" t="s">
        <v>13</v>
      </c>
      <c r="F31" s="10">
        <v>46231</v>
      </c>
      <c r="G31" s="6" t="str">
        <f t="shared" si="0"/>
        <v>27 - 29 Juli 2026</v>
      </c>
    </row>
    <row r="32" spans="1:7" x14ac:dyDescent="0.45">
      <c r="A32" s="6">
        <v>31</v>
      </c>
      <c r="B32" s="16" t="s">
        <v>42</v>
      </c>
      <c r="C32" s="15" t="s">
        <v>8</v>
      </c>
      <c r="D32" s="6" t="s">
        <v>23</v>
      </c>
      <c r="E32" s="15" t="s">
        <v>21</v>
      </c>
      <c r="F32" s="10">
        <v>46231</v>
      </c>
      <c r="G32" s="6" t="str">
        <f t="shared" si="0"/>
        <v>27 - 29 Juli 2026</v>
      </c>
    </row>
    <row r="33" spans="1:7" x14ac:dyDescent="0.45">
      <c r="A33" s="6">
        <v>32</v>
      </c>
      <c r="B33" s="7" t="s">
        <v>33</v>
      </c>
      <c r="C33" s="8" t="s">
        <v>19</v>
      </c>
      <c r="D33" s="9" t="s">
        <v>26</v>
      </c>
      <c r="E33" s="8" t="s">
        <v>13</v>
      </c>
      <c r="F33" s="10">
        <v>46231</v>
      </c>
      <c r="G33" s="6" t="str">
        <f t="shared" si="0"/>
        <v>27 - 29 Juli 2026</v>
      </c>
    </row>
    <row r="34" spans="1:7" x14ac:dyDescent="0.45">
      <c r="A34" s="6">
        <v>33</v>
      </c>
      <c r="B34" s="16" t="s">
        <v>34</v>
      </c>
      <c r="C34" s="15" t="s">
        <v>19</v>
      </c>
      <c r="D34" s="6" t="s">
        <v>20</v>
      </c>
      <c r="E34" s="15" t="s">
        <v>35</v>
      </c>
      <c r="F34" s="10">
        <v>46232</v>
      </c>
      <c r="G34" s="6" t="str">
        <f t="shared" si="0"/>
        <v>28 - 30 Juli 2026</v>
      </c>
    </row>
    <row r="35" spans="1:7" x14ac:dyDescent="0.45">
      <c r="A35" s="6">
        <v>34</v>
      </c>
      <c r="B35" s="16" t="s">
        <v>36</v>
      </c>
      <c r="C35" s="15" t="s">
        <v>8</v>
      </c>
      <c r="D35" s="6" t="s">
        <v>32</v>
      </c>
      <c r="E35" s="15" t="s">
        <v>24</v>
      </c>
      <c r="F35" s="10">
        <v>46232</v>
      </c>
      <c r="G35" s="6" t="str">
        <f t="shared" si="0"/>
        <v>28 - 30 Juli 2026</v>
      </c>
    </row>
    <row r="36" spans="1:7" x14ac:dyDescent="0.45">
      <c r="A36" s="6">
        <v>35</v>
      </c>
      <c r="B36" s="16" t="s">
        <v>37</v>
      </c>
      <c r="C36" s="15" t="s">
        <v>8</v>
      </c>
      <c r="D36" s="6" t="s">
        <v>29</v>
      </c>
      <c r="E36" s="15" t="s">
        <v>10</v>
      </c>
      <c r="F36" s="10">
        <v>46232</v>
      </c>
      <c r="G36" s="6" t="str">
        <f t="shared" si="0"/>
        <v>28 - 30 Juli 2026</v>
      </c>
    </row>
    <row r="37" spans="1:7" x14ac:dyDescent="0.45">
      <c r="A37" s="6">
        <v>36</v>
      </c>
      <c r="B37" s="7" t="s">
        <v>37</v>
      </c>
      <c r="C37" s="8" t="s">
        <v>8</v>
      </c>
      <c r="D37" s="9" t="s">
        <v>29</v>
      </c>
      <c r="E37" s="8" t="s">
        <v>10</v>
      </c>
      <c r="F37" s="10">
        <v>46233</v>
      </c>
      <c r="G37" s="6" t="str">
        <f t="shared" si="0"/>
        <v>29 - 31 Juli 2026</v>
      </c>
    </row>
  </sheetData>
  <autoFilter ref="A1:G14" xr:uid="{00000000-0009-0000-0000-000000000000}">
    <sortState xmlns:xlrd2="http://schemas.microsoft.com/office/spreadsheetml/2017/richdata2" ref="A2:G14">
      <sortCondition ref="A2:A14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640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0"/>
  <sheetViews>
    <sheetView zoomScaleNormal="100" workbookViewId="0">
      <selection activeCell="D10" sqref="D10"/>
    </sheetView>
  </sheetViews>
  <sheetFormatPr defaultColWidth="8.6640625" defaultRowHeight="14.25" x14ac:dyDescent="0.45"/>
  <cols>
    <col min="2" max="5" width="16" customWidth="1"/>
  </cols>
  <sheetData>
    <row r="2" spans="1:5" x14ac:dyDescent="0.45">
      <c r="A2" s="21" t="s">
        <v>43</v>
      </c>
      <c r="B2" s="22" t="s">
        <v>44</v>
      </c>
      <c r="C2" s="22"/>
      <c r="D2" s="22" t="s">
        <v>45</v>
      </c>
      <c r="E2" s="22"/>
    </row>
    <row r="3" spans="1:5" x14ac:dyDescent="0.45">
      <c r="A3" s="21"/>
      <c r="B3" s="1" t="s">
        <v>46</v>
      </c>
      <c r="C3" s="1" t="s">
        <v>47</v>
      </c>
      <c r="D3" s="1" t="s">
        <v>46</v>
      </c>
      <c r="E3" s="1" t="s">
        <v>47</v>
      </c>
    </row>
    <row r="4" spans="1:5" x14ac:dyDescent="0.45">
      <c r="A4" t="s">
        <v>48</v>
      </c>
      <c r="B4" s="17">
        <v>240000000</v>
      </c>
      <c r="C4" s="18">
        <v>84882340</v>
      </c>
      <c r="D4" s="18">
        <v>113850000</v>
      </c>
      <c r="E4" s="18">
        <v>42796730</v>
      </c>
    </row>
    <row r="5" spans="1:5" x14ac:dyDescent="0.45">
      <c r="A5" t="s">
        <v>49</v>
      </c>
      <c r="B5" s="19" t="s">
        <v>50</v>
      </c>
      <c r="C5" s="18">
        <v>87000000</v>
      </c>
      <c r="D5" s="18">
        <v>21600000</v>
      </c>
      <c r="E5" s="18">
        <v>65250000</v>
      </c>
    </row>
    <row r="6" spans="1:5" x14ac:dyDescent="0.45">
      <c r="A6" t="s">
        <v>51</v>
      </c>
      <c r="B6" s="19" t="s">
        <v>52</v>
      </c>
      <c r="C6" s="20">
        <f>B4-C4-C5</f>
        <v>68117660</v>
      </c>
      <c r="D6" s="18"/>
      <c r="E6" s="20">
        <f>SUM(D4:D5)-E4-E5</f>
        <v>27403270</v>
      </c>
    </row>
    <row r="7" spans="1:5" x14ac:dyDescent="0.45">
      <c r="B7" s="17"/>
      <c r="C7" s="17"/>
      <c r="D7" s="17"/>
      <c r="E7" s="17"/>
    </row>
    <row r="8" spans="1:5" x14ac:dyDescent="0.45">
      <c r="B8" s="17"/>
      <c r="C8" s="17"/>
      <c r="D8" s="17"/>
      <c r="E8" s="17"/>
    </row>
    <row r="9" spans="1:5" x14ac:dyDescent="0.45">
      <c r="B9" s="17"/>
      <c r="C9" s="17"/>
      <c r="D9" s="17"/>
      <c r="E9" s="17"/>
    </row>
    <row r="10" spans="1:5" x14ac:dyDescent="0.45">
      <c r="B10" s="17"/>
      <c r="C10" s="17"/>
      <c r="D10" s="17"/>
      <c r="E10" s="17"/>
    </row>
  </sheetData>
  <mergeCells count="3">
    <mergeCell ref="A2:A3"/>
    <mergeCell ref="B2:C2"/>
    <mergeCell ref="D2:E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Rio Oktaviyanto</dc:creator>
  <dc:description/>
  <cp:lastModifiedBy>Taufiqur Rohman, S.E.</cp:lastModifiedBy>
  <cp:revision>0</cp:revision>
  <cp:lastPrinted>2025-08-14T10:54:22Z</cp:lastPrinted>
  <dcterms:created xsi:type="dcterms:W3CDTF">2025-07-07T00:29:30Z</dcterms:created>
  <dcterms:modified xsi:type="dcterms:W3CDTF">2026-08-28T00:41:50Z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ActionId">
    <vt:lpwstr>f7a27994-190a-4f6f-9ecf-922975b6f1d6</vt:lpwstr>
  </property>
  <property fmtid="{D5CDD505-2E9C-101B-9397-08002B2CF9AE}" pid="3" name="MSIP_Label_38b525e5-f3da-4501-8f1e-526b6769fc56_ContentBits">
    <vt:lpwstr>0</vt:lpwstr>
  </property>
  <property fmtid="{D5CDD505-2E9C-101B-9397-08002B2CF9AE}" pid="4" name="MSIP_Label_38b525e5-f3da-4501-8f1e-526b6769fc56_Enabled">
    <vt:lpwstr>true</vt:lpwstr>
  </property>
  <property fmtid="{D5CDD505-2E9C-101B-9397-08002B2CF9AE}" pid="5" name="MSIP_Label_38b525e5-f3da-4501-8f1e-526b6769fc56_Method">
    <vt:lpwstr>Standard</vt:lpwstr>
  </property>
  <property fmtid="{D5CDD505-2E9C-101B-9397-08002B2CF9AE}" pid="6" name="MSIP_Label_38b525e5-f3da-4501-8f1e-526b6769fc56_Name">
    <vt:lpwstr>defa4170-0d19-0005-0004-bc88714345d2</vt:lpwstr>
  </property>
  <property fmtid="{D5CDD505-2E9C-101B-9397-08002B2CF9AE}" pid="7" name="MSIP_Label_38b525e5-f3da-4501-8f1e-526b6769fc56_SetDate">
    <vt:lpwstr>2026-06-17T11:16:33Z</vt:lpwstr>
  </property>
  <property fmtid="{D5CDD505-2E9C-101B-9397-08002B2CF9AE}" pid="8" name="MSIP_Label_38b525e5-f3da-4501-8f1e-526b6769fc56_SiteId">
    <vt:lpwstr>db6e1183-4c65-405c-82ce-7cd53fa6e9dc</vt:lpwstr>
  </property>
  <property fmtid="{D5CDD505-2E9C-101B-9397-08002B2CF9AE}" pid="9" name="MSIP_Label_38b525e5-f3da-4501-8f1e-526b6769fc56_Tag">
    <vt:lpwstr>10, 3, 0, 1</vt:lpwstr>
  </property>
</Properties>
</file>